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TN\Downloads\"/>
    </mc:Choice>
  </mc:AlternateContent>
  <xr:revisionPtr revIDLastSave="0" documentId="13_ncr:1_{8C01D8E5-94A1-426C-84A4-4810F1BBAB0A}" xr6:coauthVersionLast="47" xr6:coauthVersionMax="47" xr10:uidLastSave="{00000000-0000-0000-0000-000000000000}"/>
  <bookViews>
    <workbookView xWindow="-108" yWindow="348" windowWidth="23256" windowHeight="12720" activeTab="2" xr2:uid="{00000000-000D-0000-FFFF-FFFF00000000}"/>
  </bookViews>
  <sheets>
    <sheet name="Estadisticas" sheetId="1" r:id="rId1"/>
    <sheet name="Produccion" sheetId="2" r:id="rId2"/>
    <sheet name="Maquina" sheetId="3" r:id="rId3"/>
  </sheets>
  <definedNames>
    <definedName name="MAQUINAS">Maquina!$A:$F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4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H3" i="2"/>
  <c r="H9" i="2"/>
  <c r="H10" i="2"/>
  <c r="H12" i="2"/>
  <c r="H15" i="2"/>
  <c r="F3" i="2"/>
  <c r="F4" i="2"/>
  <c r="H4" i="2" s="1"/>
  <c r="F5" i="2"/>
  <c r="H5" i="2" s="1"/>
  <c r="F6" i="2"/>
  <c r="H6" i="2" s="1"/>
  <c r="F7" i="2"/>
  <c r="H7" i="2" s="1"/>
  <c r="F8" i="2"/>
  <c r="H8" i="2" s="1"/>
  <c r="F9" i="2"/>
  <c r="F10" i="2"/>
  <c r="F11" i="2"/>
  <c r="H11" i="2" s="1"/>
  <c r="F12" i="2"/>
  <c r="F13" i="2"/>
  <c r="H13" i="2" s="1"/>
  <c r="F14" i="2"/>
  <c r="H14" i="2" s="1"/>
  <c r="F15" i="2"/>
  <c r="F16" i="2"/>
  <c r="H16" i="2" s="1"/>
  <c r="F17" i="2"/>
  <c r="H17" i="2" s="1"/>
  <c r="F2" i="2"/>
  <c r="H2" i="2" s="1"/>
  <c r="C6" i="1" s="1"/>
</calcChain>
</file>

<file path=xl/sharedStrings.xml><?xml version="1.0" encoding="utf-8"?>
<sst xmlns="http://schemas.openxmlformats.org/spreadsheetml/2006/main" count="20" uniqueCount="20">
  <si>
    <t>Máquina</t>
  </si>
  <si>
    <t>Piezas totales producidas</t>
  </si>
  <si>
    <t>Recaudación $</t>
  </si>
  <si>
    <t>Estado</t>
  </si>
  <si>
    <t>NroMaquina</t>
  </si>
  <si>
    <t>Temp tolerancia</t>
  </si>
  <si>
    <t>Piezas por hora tolerancia</t>
  </si>
  <si>
    <t>Valor pieza correcta</t>
  </si>
  <si>
    <t>Valor pieza errónea</t>
  </si>
  <si>
    <t>Piezas para mantenimiento</t>
  </si>
  <si>
    <t>NMAQ</t>
  </si>
  <si>
    <t>THr</t>
  </si>
  <si>
    <t>CPP</t>
  </si>
  <si>
    <t>CPE</t>
  </si>
  <si>
    <t>TMAX</t>
  </si>
  <si>
    <t>CPC</t>
  </si>
  <si>
    <t>$$$</t>
  </si>
  <si>
    <t>Sobrecalentamiento</t>
  </si>
  <si>
    <t>Sobreproducción</t>
  </si>
  <si>
    <t>PxHr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</si>
</sst>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8"/>
  <sheetViews>
    <sheetView topLeftCell="A2" zoomScale="160" zoomScaleNormal="160" workbookViewId="0">
      <selection activeCell="C8" sqref="C8"/>
    </sheetView>
  </sheetViews>
  <sheetFormatPr baseColWidth="10" defaultColWidth="12.6640625" defaultRowHeight="15.75" customHeight="1"/>
  <cols>
    <col min="1" max="1" width="3.6640625" customWidth="1"/>
    <col min="2" max="2" width="23.21875" customWidth="1"/>
  </cols>
  <sheetData>
    <row r="2" spans="2:3">
      <c r="B2" s="1" t="s">
        <v>0</v>
      </c>
      <c r="C2" s="2">
        <v>1</v>
      </c>
    </row>
    <row r="3" spans="2:3">
      <c r="B3" s="1"/>
    </row>
    <row r="4" spans="2:3">
      <c r="B4" s="1" t="s">
        <v>1</v>
      </c>
      <c r="C4" s="2">
        <f>SUMIF(Produccion!A:A,Estadisticas!C2,Produccion!C:C)</f>
        <v>205</v>
      </c>
    </row>
    <row r="5" spans="2:3">
      <c r="B5" s="1"/>
    </row>
    <row r="6" spans="2:3">
      <c r="B6" s="1" t="s">
        <v>2</v>
      </c>
      <c r="C6" s="2">
        <f>SUMIF(Produccion!A:A,Estadisticas!C2,Produccion!H:H)</f>
        <v>10789000</v>
      </c>
    </row>
    <row r="7" spans="2:3">
      <c r="B7" s="1"/>
    </row>
    <row r="8" spans="2:3">
      <c r="B8" s="1" t="s">
        <v>3</v>
      </c>
      <c r="C8" s="2" t="str">
        <f>IF(C4&gt;VLOOKUP(C2,MAQUINAS,6,FALSE),"Requiere mantenimiento","OK")</f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8"/>
  <sheetViews>
    <sheetView zoomScale="130" zoomScaleNormal="130" workbookViewId="0">
      <selection activeCell="I2" sqref="I2"/>
    </sheetView>
  </sheetViews>
  <sheetFormatPr baseColWidth="10" defaultColWidth="12.6640625" defaultRowHeight="15.75" customHeight="1"/>
  <cols>
    <col min="1" max="1" width="7.21875" bestFit="1" customWidth="1"/>
    <col min="2" max="2" width="4.44140625" bestFit="1" customWidth="1"/>
    <col min="3" max="4" width="5.109375" bestFit="1" customWidth="1"/>
    <col min="5" max="5" width="6.88671875" bestFit="1" customWidth="1"/>
    <col min="6" max="7" width="5.77734375" customWidth="1"/>
    <col min="8" max="8" width="10.6640625" customWidth="1"/>
    <col min="9" max="9" width="20.21875" customWidth="1"/>
    <col min="10" max="10" width="19.109375" customWidth="1"/>
  </cols>
  <sheetData>
    <row r="1" spans="1:10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19</v>
      </c>
      <c r="H1" s="4" t="s">
        <v>16</v>
      </c>
      <c r="I1" s="4" t="s">
        <v>17</v>
      </c>
      <c r="J1" s="4" t="s">
        <v>18</v>
      </c>
    </row>
    <row r="2" spans="1:10">
      <c r="A2" s="6">
        <v>1</v>
      </c>
      <c r="B2" s="6">
        <v>10</v>
      </c>
      <c r="C2" s="6">
        <v>81</v>
      </c>
      <c r="D2" s="6">
        <v>5</v>
      </c>
      <c r="E2" s="6">
        <v>48</v>
      </c>
      <c r="F2" s="5">
        <f>C2-D2</f>
        <v>76</v>
      </c>
      <c r="G2" s="5">
        <f>C2/B2</f>
        <v>8.1</v>
      </c>
      <c r="H2" s="5">
        <f>VLOOKUP(A2,MAQUINAS,4,FALSE)*F2+VLOOKUP(A2,MAQUINAS,5,FALSE)*D2</f>
        <v>4185000</v>
      </c>
      <c r="I2" s="5">
        <f>IF(E2&gt;VLOOKUP(A2,MAQUINAS,2,FALSE),1,0)</f>
        <v>1</v>
      </c>
      <c r="J2" s="6">
        <f>IF(G2&gt;VLOOKUP(A2,MAQUINAS,3,FALSE),1,0)</f>
        <v>1</v>
      </c>
    </row>
    <row r="3" spans="1:10">
      <c r="A3" s="6">
        <v>1</v>
      </c>
      <c r="B3" s="6">
        <v>8</v>
      </c>
      <c r="C3" s="6">
        <v>60</v>
      </c>
      <c r="D3" s="6">
        <v>2</v>
      </c>
      <c r="E3" s="6">
        <v>52</v>
      </c>
      <c r="F3" s="5">
        <f t="shared" ref="F3:F17" si="0">C3-D3</f>
        <v>58</v>
      </c>
      <c r="G3" s="5">
        <f t="shared" ref="G3:G17" si="1">C3/B3</f>
        <v>7.5</v>
      </c>
      <c r="H3" s="5">
        <f>VLOOKUP(A3,MAQUINAS,4,FALSE)*F3+VLOOKUP(A3,MAQUINAS,5,FALSE)*D3</f>
        <v>3192000</v>
      </c>
      <c r="I3" s="5">
        <f>IF(E3&gt;VLOOKUP(A3,MAQUINAS,2,FALSE),1,0)</f>
        <v>1</v>
      </c>
      <c r="J3" s="6">
        <f>IF(G3&gt;VLOOKUP(A3,MAQUINAS,3,FALSE),1,0)</f>
        <v>0</v>
      </c>
    </row>
    <row r="4" spans="1:10">
      <c r="A4" s="6">
        <v>2</v>
      </c>
      <c r="B4" s="6">
        <v>12</v>
      </c>
      <c r="C4" s="6">
        <v>100</v>
      </c>
      <c r="D4" s="6">
        <v>10</v>
      </c>
      <c r="E4" s="6">
        <v>45</v>
      </c>
      <c r="F4" s="5">
        <f t="shared" si="0"/>
        <v>90</v>
      </c>
      <c r="G4" s="5">
        <f t="shared" si="1"/>
        <v>8.3333333333333339</v>
      </c>
      <c r="H4" s="5">
        <f>VLOOKUP(A4,MAQUINAS,4,FALSE)*F4+VLOOKUP(A4,MAQUINAS,5,FALSE)*D4</f>
        <v>5410000</v>
      </c>
      <c r="I4" s="5">
        <f>IF(E4&gt;VLOOKUP(A4,MAQUINAS,2,FALSE),1,0)</f>
        <v>0</v>
      </c>
      <c r="J4" s="6">
        <f>IF(G4&gt;VLOOKUP(A4,MAQUINAS,3,FALSE),1,0)</f>
        <v>1</v>
      </c>
    </row>
    <row r="5" spans="1:10">
      <c r="A5" s="6">
        <v>2</v>
      </c>
      <c r="B5" s="6">
        <v>7</v>
      </c>
      <c r="C5" s="6">
        <v>55</v>
      </c>
      <c r="D5" s="6">
        <v>1</v>
      </c>
      <c r="E5" s="6">
        <v>49</v>
      </c>
      <c r="F5" s="5">
        <f t="shared" si="0"/>
        <v>54</v>
      </c>
      <c r="G5" s="5">
        <f t="shared" si="1"/>
        <v>7.8571428571428568</v>
      </c>
      <c r="H5" s="5">
        <f>VLOOKUP(A5,MAQUINAS,4,FALSE)*F5+VLOOKUP(A5,MAQUINAS,5,FALSE)*D5</f>
        <v>3241000</v>
      </c>
      <c r="I5" s="5">
        <f>IF(E5&gt;VLOOKUP(A5,MAQUINAS,2,FALSE),1,0)</f>
        <v>1</v>
      </c>
      <c r="J5" s="6">
        <f>IF(G5&gt;VLOOKUP(A5,MAQUINAS,3,FALSE),1,0)</f>
        <v>1</v>
      </c>
    </row>
    <row r="6" spans="1:10">
      <c r="A6" s="6">
        <v>3</v>
      </c>
      <c r="B6" s="6">
        <v>9</v>
      </c>
      <c r="C6" s="6">
        <v>72</v>
      </c>
      <c r="D6" s="6">
        <v>3</v>
      </c>
      <c r="E6" s="6">
        <v>53</v>
      </c>
      <c r="F6" s="5">
        <f t="shared" si="0"/>
        <v>69</v>
      </c>
      <c r="G6" s="5">
        <f t="shared" si="1"/>
        <v>8</v>
      </c>
      <c r="H6" s="5">
        <f>VLOOKUP(A6,MAQUINAS,4,FALSE)*F6+VLOOKUP(A6,MAQUINAS,5,FALSE)*D6</f>
        <v>4833000</v>
      </c>
      <c r="I6" s="5">
        <f>IF(E6&gt;VLOOKUP(A6,MAQUINAS,2,FALSE),1,0)</f>
        <v>0</v>
      </c>
      <c r="J6" s="6">
        <f>IF(G6&gt;VLOOKUP(A6,MAQUINAS,3,FALSE),1,0)</f>
        <v>0</v>
      </c>
    </row>
    <row r="7" spans="1:10">
      <c r="A7" s="6">
        <v>3</v>
      </c>
      <c r="B7" s="6">
        <v>11</v>
      </c>
      <c r="C7" s="6">
        <v>85</v>
      </c>
      <c r="D7" s="6">
        <v>4</v>
      </c>
      <c r="E7" s="6">
        <v>47</v>
      </c>
      <c r="F7" s="5">
        <f t="shared" si="0"/>
        <v>81</v>
      </c>
      <c r="G7" s="5">
        <f t="shared" si="1"/>
        <v>7.7272727272727275</v>
      </c>
      <c r="H7" s="5">
        <f>VLOOKUP(A7,MAQUINAS,4,FALSE)*F7+VLOOKUP(A7,MAQUINAS,5,FALSE)*D7</f>
        <v>5674000</v>
      </c>
      <c r="I7" s="5">
        <f>IF(E7&gt;VLOOKUP(A7,MAQUINAS,2,FALSE),1,0)</f>
        <v>0</v>
      </c>
      <c r="J7" s="6">
        <f>IF(G7&gt;VLOOKUP(A7,MAQUINAS,3,FALSE),1,0)</f>
        <v>0</v>
      </c>
    </row>
    <row r="8" spans="1:10">
      <c r="A8" s="6">
        <v>4</v>
      </c>
      <c r="B8" s="6">
        <v>6</v>
      </c>
      <c r="C8" s="6">
        <v>50</v>
      </c>
      <c r="D8" s="6">
        <v>2</v>
      </c>
      <c r="E8" s="6">
        <v>50</v>
      </c>
      <c r="F8" s="5">
        <f t="shared" si="0"/>
        <v>48</v>
      </c>
      <c r="G8" s="5">
        <f t="shared" si="1"/>
        <v>8.3333333333333339</v>
      </c>
      <c r="H8" s="5">
        <f>VLOOKUP(A8,MAQUINAS,4,FALSE)*F8+VLOOKUP(A8,MAQUINAS,5,FALSE)*D8</f>
        <v>1924000</v>
      </c>
      <c r="I8" s="5">
        <f>IF(E8&gt;VLOOKUP(A8,MAQUINAS,2,FALSE),1,0)</f>
        <v>0</v>
      </c>
      <c r="J8" s="6">
        <f>IF(G8&gt;VLOOKUP(A8,MAQUINAS,3,FALSE),1,0)</f>
        <v>0</v>
      </c>
    </row>
    <row r="9" spans="1:10">
      <c r="A9" s="6">
        <v>4</v>
      </c>
      <c r="B9" s="6">
        <v>10</v>
      </c>
      <c r="C9" s="6">
        <v>90</v>
      </c>
      <c r="D9" s="6">
        <v>8</v>
      </c>
      <c r="E9" s="6">
        <v>51</v>
      </c>
      <c r="F9" s="5">
        <f t="shared" si="0"/>
        <v>82</v>
      </c>
      <c r="G9" s="5">
        <f t="shared" si="1"/>
        <v>9</v>
      </c>
      <c r="H9" s="5">
        <f>VLOOKUP(A9,MAQUINAS,4,FALSE)*F9+VLOOKUP(A9,MAQUINAS,5,FALSE)*D9</f>
        <v>3296000</v>
      </c>
      <c r="I9" s="5">
        <f>IF(E9&gt;VLOOKUP(A9,MAQUINAS,2,FALSE),1,0)</f>
        <v>0</v>
      </c>
      <c r="J9" s="6">
        <f>IF(G9&gt;VLOOKUP(A9,MAQUINAS,3,FALSE),1,0)</f>
        <v>0</v>
      </c>
    </row>
    <row r="10" spans="1:10">
      <c r="A10" s="6">
        <v>1</v>
      </c>
      <c r="B10" s="6">
        <v>5</v>
      </c>
      <c r="C10" s="7">
        <v>40</v>
      </c>
      <c r="D10" s="6">
        <v>0</v>
      </c>
      <c r="E10" s="6">
        <v>46</v>
      </c>
      <c r="F10" s="5">
        <f t="shared" si="0"/>
        <v>40</v>
      </c>
      <c r="G10" s="5">
        <f t="shared" si="1"/>
        <v>8</v>
      </c>
      <c r="H10" s="5">
        <f>VLOOKUP(A10,MAQUINAS,4,FALSE)*F10+VLOOKUP(A10,MAQUINAS,5,FALSE)*D10</f>
        <v>2200000</v>
      </c>
      <c r="I10" s="5">
        <f>IF(E10&gt;VLOOKUP(A10,MAQUINAS,2,FALSE),1,0)</f>
        <v>1</v>
      </c>
      <c r="J10" s="6">
        <f>IF(G10&gt;VLOOKUP(A10,MAQUINAS,3,FALSE),1,0)</f>
        <v>0</v>
      </c>
    </row>
    <row r="11" spans="1:10">
      <c r="A11" s="6">
        <v>2</v>
      </c>
      <c r="B11" s="6">
        <v>15</v>
      </c>
      <c r="C11" s="6">
        <v>120</v>
      </c>
      <c r="D11" s="6">
        <v>15</v>
      </c>
      <c r="E11" s="6">
        <v>55</v>
      </c>
      <c r="F11" s="5">
        <f t="shared" si="0"/>
        <v>105</v>
      </c>
      <c r="G11" s="5">
        <f t="shared" si="1"/>
        <v>8</v>
      </c>
      <c r="H11" s="5">
        <f>VLOOKUP(A11,MAQUINAS,4,FALSE)*F11+VLOOKUP(A11,MAQUINAS,5,FALSE)*D11</f>
        <v>6315000</v>
      </c>
      <c r="I11" s="5">
        <f>IF(E11&gt;VLOOKUP(A11,MAQUINAS,2,FALSE),1,0)</f>
        <v>1</v>
      </c>
      <c r="J11" s="6">
        <f>IF(G11&gt;VLOOKUP(A11,MAQUINAS,3,FALSE),1,0)</f>
        <v>1</v>
      </c>
    </row>
    <row r="12" spans="1:10">
      <c r="A12" s="6">
        <v>3</v>
      </c>
      <c r="B12" s="6">
        <v>4</v>
      </c>
      <c r="C12" s="6">
        <v>30</v>
      </c>
      <c r="D12" s="6">
        <v>1</v>
      </c>
      <c r="E12" s="6">
        <v>44</v>
      </c>
      <c r="F12" s="5">
        <f t="shared" si="0"/>
        <v>29</v>
      </c>
      <c r="G12" s="5">
        <f t="shared" si="1"/>
        <v>7.5</v>
      </c>
      <c r="H12" s="5">
        <f>VLOOKUP(A12,MAQUINAS,4,FALSE)*F12+VLOOKUP(A12,MAQUINAS,5,FALSE)*D12</f>
        <v>2031000</v>
      </c>
      <c r="I12" s="5">
        <f>IF(E12&gt;VLOOKUP(A12,MAQUINAS,2,FALSE),1,0)</f>
        <v>0</v>
      </c>
      <c r="J12" s="6">
        <f>IF(G12&gt;VLOOKUP(A12,MAQUINAS,3,FALSE),1,0)</f>
        <v>0</v>
      </c>
    </row>
    <row r="13" spans="1:10">
      <c r="A13" s="6">
        <v>1</v>
      </c>
      <c r="B13" s="6">
        <v>3</v>
      </c>
      <c r="C13" s="6">
        <v>24</v>
      </c>
      <c r="D13" s="6">
        <v>2</v>
      </c>
      <c r="E13" s="6">
        <v>52</v>
      </c>
      <c r="F13" s="5">
        <f t="shared" si="0"/>
        <v>22</v>
      </c>
      <c r="G13" s="5">
        <f t="shared" si="1"/>
        <v>8</v>
      </c>
      <c r="H13" s="5">
        <f>VLOOKUP(A13,MAQUINAS,4,FALSE)*F13+VLOOKUP(A13,MAQUINAS,5,FALSE)*D13</f>
        <v>1212000</v>
      </c>
      <c r="I13" s="5">
        <f>IF(E13&gt;VLOOKUP(A13,MAQUINAS,2,FALSE),1,0)</f>
        <v>1</v>
      </c>
      <c r="J13" s="6">
        <f>IF(G13&gt;VLOOKUP(A13,MAQUINAS,3,FALSE),1,0)</f>
        <v>0</v>
      </c>
    </row>
    <row r="14" spans="1:10">
      <c r="A14" s="6">
        <v>4</v>
      </c>
      <c r="B14" s="6">
        <v>8</v>
      </c>
      <c r="C14" s="6">
        <v>70</v>
      </c>
      <c r="D14" s="6">
        <v>6</v>
      </c>
      <c r="E14" s="6">
        <v>49</v>
      </c>
      <c r="F14" s="5">
        <f t="shared" si="0"/>
        <v>64</v>
      </c>
      <c r="G14" s="5">
        <f t="shared" si="1"/>
        <v>8.75</v>
      </c>
      <c r="H14" s="5">
        <f>VLOOKUP(A14,MAQUINAS,4,FALSE)*F14+VLOOKUP(A14,MAQUINAS,5,FALSE)*D14</f>
        <v>2572000</v>
      </c>
      <c r="I14" s="5">
        <f>IF(E14&gt;VLOOKUP(A14,MAQUINAS,2,FALSE),1,0)</f>
        <v>0</v>
      </c>
      <c r="J14" s="6">
        <f>IF(G14&gt;VLOOKUP(A14,MAQUINAS,3,FALSE),1,0)</f>
        <v>0</v>
      </c>
    </row>
    <row r="15" spans="1:10">
      <c r="A15" s="6">
        <v>2</v>
      </c>
      <c r="B15" s="6">
        <v>10</v>
      </c>
      <c r="C15" s="6">
        <v>80</v>
      </c>
      <c r="D15" s="6">
        <v>7</v>
      </c>
      <c r="E15" s="6">
        <v>54</v>
      </c>
      <c r="F15" s="5">
        <f t="shared" si="0"/>
        <v>73</v>
      </c>
      <c r="G15" s="5">
        <f t="shared" si="1"/>
        <v>8</v>
      </c>
      <c r="H15" s="5">
        <f>VLOOKUP(A15,MAQUINAS,4,FALSE)*F15+VLOOKUP(A15,MAQUINAS,5,FALSE)*D15</f>
        <v>4387000</v>
      </c>
      <c r="I15" s="5">
        <f>IF(E15&gt;VLOOKUP(A15,MAQUINAS,2,FALSE),1,0)</f>
        <v>1</v>
      </c>
      <c r="J15" s="6">
        <f>IF(G15&gt;VLOOKUP(A15,MAQUINAS,3,FALSE),1,0)</f>
        <v>1</v>
      </c>
    </row>
    <row r="16" spans="1:10">
      <c r="A16" s="6">
        <v>3</v>
      </c>
      <c r="B16" s="6">
        <v>6</v>
      </c>
      <c r="C16" s="6">
        <v>48</v>
      </c>
      <c r="D16" s="6">
        <v>3</v>
      </c>
      <c r="E16" s="6">
        <v>51</v>
      </c>
      <c r="F16" s="5">
        <f t="shared" si="0"/>
        <v>45</v>
      </c>
      <c r="G16" s="5">
        <f t="shared" si="1"/>
        <v>8</v>
      </c>
      <c r="H16" s="5">
        <f>VLOOKUP(A16,MAQUINAS,4,FALSE)*F16+VLOOKUP(A16,MAQUINAS,5,FALSE)*D16</f>
        <v>3153000</v>
      </c>
      <c r="I16" s="5">
        <f>IF(E16&gt;VLOOKUP(A16,MAQUINAS,2,FALSE),1,0)</f>
        <v>0</v>
      </c>
      <c r="J16" s="6">
        <f>IF(G16&gt;VLOOKUP(A16,MAQUINAS,3,FALSE),1,0)</f>
        <v>0</v>
      </c>
    </row>
    <row r="17" spans="1:10">
      <c r="A17" s="6">
        <v>5</v>
      </c>
      <c r="B17" s="6">
        <v>12</v>
      </c>
      <c r="C17" s="6">
        <v>100</v>
      </c>
      <c r="D17" s="6">
        <v>5</v>
      </c>
      <c r="E17" s="6">
        <v>50</v>
      </c>
      <c r="F17" s="5">
        <f t="shared" si="0"/>
        <v>95</v>
      </c>
      <c r="G17" s="5">
        <f t="shared" si="1"/>
        <v>8.3333333333333339</v>
      </c>
      <c r="H17" s="5">
        <f>VLOOKUP(A17,MAQUINAS,4,FALSE)*F17+VLOOKUP(A17,MAQUINAS,5,FALSE)*D17</f>
        <v>2855000</v>
      </c>
      <c r="I17" s="5">
        <f>IF(E17&gt;VLOOKUP(A17,MAQUINAS,2,FALSE),1,0)</f>
        <v>1</v>
      </c>
      <c r="J17" s="6">
        <f>IF(G17&gt;VLOOKUP(A17,MAQUINAS,3,FALSE),1,0)</f>
        <v>0</v>
      </c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"/>
  <sheetViews>
    <sheetView tabSelected="1" zoomScale="145" zoomScaleNormal="145" workbookViewId="0">
      <selection activeCell="A12" sqref="A12"/>
    </sheetView>
  </sheetViews>
  <sheetFormatPr baseColWidth="10" defaultColWidth="12.6640625" defaultRowHeight="15.75" customHeight="1"/>
  <cols>
    <col min="2" max="2" width="13.88671875" customWidth="1"/>
    <col min="3" max="3" width="22" customWidth="1"/>
    <col min="4" max="4" width="22.109375" customWidth="1"/>
    <col min="5" max="5" width="16.44140625" customWidth="1"/>
    <col min="6" max="6" width="23.77734375" customWidth="1"/>
  </cols>
  <sheetData>
    <row r="1" spans="1:6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1" t="s">
        <v>9</v>
      </c>
    </row>
    <row r="2" spans="1:6">
      <c r="A2" s="9">
        <v>1</v>
      </c>
      <c r="B2" s="9">
        <v>44</v>
      </c>
      <c r="C2" s="9">
        <v>8</v>
      </c>
      <c r="D2" s="9">
        <v>55000</v>
      </c>
      <c r="E2" s="9">
        <v>1000</v>
      </c>
      <c r="F2" s="10">
        <v>400</v>
      </c>
    </row>
    <row r="3" spans="1:6">
      <c r="A3" s="9">
        <v>2</v>
      </c>
      <c r="B3" s="9">
        <v>45</v>
      </c>
      <c r="C3" s="9">
        <v>7</v>
      </c>
      <c r="D3" s="9">
        <v>60000</v>
      </c>
      <c r="E3" s="9">
        <v>1000</v>
      </c>
      <c r="F3" s="10">
        <v>200</v>
      </c>
    </row>
    <row r="4" spans="1:6">
      <c r="A4" s="9">
        <v>3</v>
      </c>
      <c r="B4" s="9">
        <v>60</v>
      </c>
      <c r="C4" s="9">
        <v>8</v>
      </c>
      <c r="D4" s="9">
        <v>70000</v>
      </c>
      <c r="E4" s="9">
        <v>1000</v>
      </c>
      <c r="F4" s="10">
        <v>100</v>
      </c>
    </row>
    <row r="5" spans="1:6">
      <c r="A5" s="9">
        <v>4</v>
      </c>
      <c r="B5" s="9">
        <v>55</v>
      </c>
      <c r="C5" s="9">
        <v>9</v>
      </c>
      <c r="D5" s="9">
        <v>40000</v>
      </c>
      <c r="E5" s="9">
        <v>2000</v>
      </c>
      <c r="F5" s="10">
        <v>300</v>
      </c>
    </row>
    <row r="6" spans="1:6">
      <c r="A6" s="9">
        <v>5</v>
      </c>
      <c r="B6" s="9">
        <v>40</v>
      </c>
      <c r="C6" s="9">
        <v>10</v>
      </c>
      <c r="D6" s="9">
        <v>30000</v>
      </c>
      <c r="E6" s="9">
        <v>1000</v>
      </c>
      <c r="F6" s="10">
        <v>400</v>
      </c>
    </row>
    <row r="7" spans="1:6">
      <c r="A7" s="9">
        <v>6</v>
      </c>
      <c r="B7" s="9">
        <v>55</v>
      </c>
      <c r="C7" s="9">
        <v>12</v>
      </c>
      <c r="D7" s="9">
        <v>44000</v>
      </c>
      <c r="E7" s="9">
        <v>1000</v>
      </c>
      <c r="F7" s="10">
        <v>500</v>
      </c>
    </row>
    <row r="8" spans="1:6">
      <c r="A8" s="9">
        <v>7</v>
      </c>
      <c r="B8" s="9">
        <v>58</v>
      </c>
      <c r="C8" s="9">
        <v>4</v>
      </c>
      <c r="D8" s="9">
        <v>99000</v>
      </c>
      <c r="E8" s="9">
        <v>6000</v>
      </c>
      <c r="F8" s="10">
        <v>20</v>
      </c>
    </row>
    <row r="9" spans="1:6">
      <c r="A9" s="9">
        <v>8</v>
      </c>
      <c r="B9" s="9">
        <v>47</v>
      </c>
      <c r="C9" s="9">
        <v>6</v>
      </c>
      <c r="D9" s="9">
        <v>80000</v>
      </c>
      <c r="E9" s="9">
        <v>5000</v>
      </c>
      <c r="F9" s="10">
        <v>50</v>
      </c>
    </row>
    <row r="10" spans="1:6" ht="15.75" customHeight="1">
      <c r="A10" s="11">
        <v>9</v>
      </c>
      <c r="B10" s="11">
        <v>1</v>
      </c>
      <c r="C10" s="11">
        <v>1</v>
      </c>
      <c r="D10" s="11">
        <v>1</v>
      </c>
      <c r="E10" s="11">
        <v>1</v>
      </c>
      <c r="F10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Estadisticas</vt:lpstr>
      <vt:lpstr>Produccion</vt:lpstr>
      <vt:lpstr>Maquina</vt:lpstr>
      <vt:lpstr>MAQUINAS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Ruben Simón</cp:lastModifiedBy>
  <dcterms:modified xsi:type="dcterms:W3CDTF">2024-10-30T21:02:14Z</dcterms:modified>
</cp:coreProperties>
</file>